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drawings/drawing3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501" codeName="{5022B3EB-BCE5-7840-4BB8-8062D341818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Lights\Downloads\"/>
    </mc:Choice>
  </mc:AlternateContent>
  <xr:revisionPtr revIDLastSave="0" documentId="13_ncr:1_{C39CB2EF-A117-4017-8C84-24C622E3148F}" xr6:coauthVersionLast="47" xr6:coauthVersionMax="47" xr10:uidLastSave="{00000000-0000-0000-0000-000000000000}"/>
  <bookViews>
    <workbookView xWindow="-120" yWindow="-120" windowWidth="38640" windowHeight="21840" xr2:uid="{00000000-000D-0000-FFFF-FFFF00000000}"/>
  </bookViews>
  <sheets>
    <sheet name="Prices" sheetId="1" r:id="rId1"/>
    <sheet name="Menu" sheetId="5" r:id="rId2"/>
    <sheet name="Quote" sheetId="2" r:id="rId3"/>
    <sheet name="Save Quote" sheetId="4" r:id="rId4"/>
  </sheets>
  <definedNames>
    <definedName name="Customers">Prices!$E$2:$H$8</definedName>
    <definedName name="Prices">Prices!$A$2:$C$6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O1" i="4" l="1"/>
  <c r="O2" i="4"/>
  <c r="N33" i="2" l="1"/>
  <c r="J33" i="2" l="1"/>
  <c r="R3" i="2"/>
  <c r="G33" i="2" s="1"/>
  <c r="D33" i="2"/>
  <c r="R10" i="2"/>
  <c r="I33" i="2" s="1"/>
  <c r="P5" i="2" l="1"/>
  <c r="R5" i="2" s="1"/>
  <c r="H33" i="2" s="1"/>
  <c r="E16" i="2" l="1"/>
  <c r="F33" i="2" s="1"/>
  <c r="E14" i="2"/>
  <c r="E33" i="2" s="1"/>
  <c r="N23" i="2"/>
  <c r="M33" i="2" s="1"/>
  <c r="D8" i="2"/>
  <c r="P10" i="2"/>
  <c r="P3" i="2"/>
  <c r="N20" i="2" l="1"/>
  <c r="N26" i="2" s="1"/>
  <c r="L33" i="2" s="1"/>
  <c r="K33" i="2" l="1"/>
</calcChain>
</file>

<file path=xl/sharedStrings.xml><?xml version="1.0" encoding="utf-8"?>
<sst xmlns="http://schemas.openxmlformats.org/spreadsheetml/2006/main" count="84" uniqueCount="61">
  <si>
    <t xml:space="preserve"> </t>
  </si>
  <si>
    <t>Size</t>
  </si>
  <si>
    <t>Cost</t>
  </si>
  <si>
    <t>Full Page</t>
  </si>
  <si>
    <t>Half Page</t>
  </si>
  <si>
    <t>Quarter Page</t>
  </si>
  <si>
    <t>Eighth Page</t>
  </si>
  <si>
    <t>Twelfth Page</t>
  </si>
  <si>
    <t xml:space="preserve">   </t>
  </si>
  <si>
    <t>Number of weeks</t>
  </si>
  <si>
    <t>Basic Price</t>
  </si>
  <si>
    <t>Discount</t>
  </si>
  <si>
    <t>Final price</t>
  </si>
  <si>
    <t>Customer details</t>
  </si>
  <si>
    <t>Name</t>
  </si>
  <si>
    <t>Customer</t>
  </si>
  <si>
    <t>Town/City</t>
  </si>
  <si>
    <t>Contact No</t>
  </si>
  <si>
    <t>Brooke</t>
  </si>
  <si>
    <t>Smithson</t>
  </si>
  <si>
    <t>Cooke</t>
  </si>
  <si>
    <t>Bennet</t>
  </si>
  <si>
    <t>English</t>
  </si>
  <si>
    <t>Gates</t>
  </si>
  <si>
    <t>Chandler</t>
  </si>
  <si>
    <t>Southampton</t>
  </si>
  <si>
    <t>Portsmouth</t>
  </si>
  <si>
    <t>Wickham</t>
  </si>
  <si>
    <t>Gosport</t>
  </si>
  <si>
    <t>Botley</t>
  </si>
  <si>
    <t>Hedge End</t>
  </si>
  <si>
    <t>Thornhill</t>
  </si>
  <si>
    <t>02380435636</t>
  </si>
  <si>
    <t>02392123456</t>
  </si>
  <si>
    <t>01329282828</t>
  </si>
  <si>
    <t>02392383838</t>
  </si>
  <si>
    <t>01489348484</t>
  </si>
  <si>
    <t>02380102030</t>
  </si>
  <si>
    <t>02380393939</t>
  </si>
  <si>
    <t>Phone</t>
  </si>
  <si>
    <t>Town</t>
  </si>
  <si>
    <t xml:space="preserve">                          </t>
  </si>
  <si>
    <t>Telephone</t>
  </si>
  <si>
    <t>City</t>
  </si>
  <si>
    <t>Page Size</t>
  </si>
  <si>
    <t>Colour</t>
  </si>
  <si>
    <t>Page Type</t>
  </si>
  <si>
    <t>Weeks</t>
  </si>
  <si>
    <t>Final Price</t>
  </si>
  <si>
    <t xml:space="preserve">                                                                                                                           </t>
  </si>
  <si>
    <t>Invoice No.</t>
  </si>
  <si>
    <t>Invoice:</t>
  </si>
  <si>
    <t>Black &amp; White</t>
  </si>
  <si>
    <t>Inside Page</t>
  </si>
  <si>
    <t>Color</t>
  </si>
  <si>
    <t>Front Page</t>
  </si>
  <si>
    <t>Average Final Price:</t>
  </si>
  <si>
    <t>Most popular size:</t>
  </si>
  <si>
    <t>Most popular color:</t>
  </si>
  <si>
    <t>Most popular page-type:</t>
  </si>
  <si>
    <t>Average weeks: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</si>
</sst>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4" formatCode="_-&quot;£&quot;* #,##0.00_-;\-&quot;£&quot;* #,##0.00_-;_-&quot;£&quot;* &quot;-&quot;??_-;_-@_-"/>
    <numFmt numFmtId="164" formatCode="&quot;£&quot;#,##0.00"/>
  </numFmts>
  <fonts count="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color rgb="FF000000"/>
      <name val="Segoe UI"/>
      <family val="2"/>
    </font>
    <font>
      <sz val="11"/>
      <color rgb="FF000000"/>
      <name val="Calibri"/>
      <family val="2"/>
    </font>
    <font>
      <sz val="11"/>
      <name val="Calibri"/>
      <family val="2"/>
      <scheme val="minor"/>
    </font>
    <font>
      <sz val="11"/>
      <color rgb="FFC8EDB9"/>
      <name val="Calibri"/>
      <family val="2"/>
      <scheme val="minor"/>
    </font>
    <font>
      <sz val="9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C8EDB9"/>
        <bgColor indexed="64"/>
      </patternFill>
    </fill>
    <fill>
      <patternFill patternType="solid">
        <fgColor rgb="FFBAF692"/>
        <bgColor indexed="64"/>
      </patternFill>
    </fill>
  </fills>
  <borders count="21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53">
    <xf numFmtId="0" fontId="0" fillId="0" borderId="0" xfId="0"/>
    <xf numFmtId="0" fontId="0" fillId="3" borderId="0" xfId="0" applyFill="1"/>
    <xf numFmtId="0" fontId="0" fillId="4" borderId="1" xfId="0" applyFill="1" applyBorder="1"/>
    <xf numFmtId="0" fontId="0" fillId="4" borderId="2" xfId="0" applyFill="1" applyBorder="1"/>
    <xf numFmtId="0" fontId="0" fillId="4" borderId="3" xfId="0" applyFill="1" applyBorder="1"/>
    <xf numFmtId="0" fontId="0" fillId="4" borderId="4" xfId="0" applyFill="1" applyBorder="1"/>
    <xf numFmtId="0" fontId="0" fillId="4" borderId="0" xfId="0" applyFill="1"/>
    <xf numFmtId="0" fontId="0" fillId="4" borderId="5" xfId="0" applyFill="1" applyBorder="1"/>
    <xf numFmtId="0" fontId="0" fillId="4" borderId="6" xfId="0" applyFill="1" applyBorder="1"/>
    <xf numFmtId="0" fontId="0" fillId="4" borderId="7" xfId="0" applyFill="1" applyBorder="1"/>
    <xf numFmtId="0" fontId="0" fillId="4" borderId="8" xfId="0" applyFill="1" applyBorder="1"/>
    <xf numFmtId="0" fontId="0" fillId="2" borderId="9" xfId="0" applyFill="1" applyBorder="1"/>
    <xf numFmtId="0" fontId="0" fillId="2" borderId="10" xfId="0" applyFill="1" applyBorder="1"/>
    <xf numFmtId="0" fontId="0" fillId="2" borderId="11" xfId="0" applyFill="1" applyBorder="1" applyAlignment="1">
      <alignment horizontal="center"/>
    </xf>
    <xf numFmtId="0" fontId="0" fillId="2" borderId="11" xfId="0" applyFill="1" applyBorder="1"/>
    <xf numFmtId="0" fontId="0" fillId="2" borderId="12" xfId="0" applyFill="1" applyBorder="1" applyAlignment="1">
      <alignment horizontal="center"/>
    </xf>
    <xf numFmtId="9" fontId="0" fillId="2" borderId="12" xfId="2" applyFont="1" applyFill="1" applyBorder="1"/>
    <xf numFmtId="0" fontId="0" fillId="2" borderId="0" xfId="0" applyFill="1"/>
    <xf numFmtId="0" fontId="0" fillId="4" borderId="13" xfId="0" applyFill="1" applyBorder="1"/>
    <xf numFmtId="0" fontId="0" fillId="4" borderId="14" xfId="0" applyFill="1" applyBorder="1"/>
    <xf numFmtId="0" fontId="0" fillId="4" borderId="15" xfId="0" applyFill="1" applyBorder="1"/>
    <xf numFmtId="0" fontId="0" fillId="4" borderId="16" xfId="0" applyFill="1" applyBorder="1"/>
    <xf numFmtId="0" fontId="0" fillId="4" borderId="17" xfId="0" applyFill="1" applyBorder="1"/>
    <xf numFmtId="0" fontId="0" fillId="4" borderId="18" xfId="0" applyFill="1" applyBorder="1"/>
    <xf numFmtId="0" fontId="0" fillId="4" borderId="19" xfId="0" applyFill="1" applyBorder="1"/>
    <xf numFmtId="0" fontId="0" fillId="4" borderId="20" xfId="0" applyFill="1" applyBorder="1"/>
    <xf numFmtId="0" fontId="0" fillId="2" borderId="13" xfId="0" applyFill="1" applyBorder="1"/>
    <xf numFmtId="0" fontId="0" fillId="2" borderId="14" xfId="0" applyFill="1" applyBorder="1"/>
    <xf numFmtId="0" fontId="0" fillId="2" borderId="16" xfId="0" applyFill="1" applyBorder="1"/>
    <xf numFmtId="164" fontId="0" fillId="2" borderId="17" xfId="0" applyNumberFormat="1" applyFill="1" applyBorder="1"/>
    <xf numFmtId="0" fontId="0" fillId="2" borderId="18" xfId="0" applyFill="1" applyBorder="1"/>
    <xf numFmtId="0" fontId="0" fillId="2" borderId="19" xfId="0" applyFill="1" applyBorder="1"/>
    <xf numFmtId="164" fontId="0" fillId="2" borderId="20" xfId="0" applyNumberFormat="1" applyFill="1" applyBorder="1"/>
    <xf numFmtId="164" fontId="0" fillId="2" borderId="15" xfId="0" applyNumberFormat="1" applyFill="1" applyBorder="1"/>
    <xf numFmtId="49" fontId="0" fillId="2" borderId="15" xfId="0" applyNumberFormat="1" applyFill="1" applyBorder="1"/>
    <xf numFmtId="49" fontId="0" fillId="2" borderId="17" xfId="0" applyNumberFormat="1" applyFill="1" applyBorder="1"/>
    <xf numFmtId="49" fontId="0" fillId="2" borderId="20" xfId="0" applyNumberFormat="1" applyFill="1" applyBorder="1"/>
    <xf numFmtId="0" fontId="0" fillId="3" borderId="0" xfId="0" applyFill="1" applyAlignment="1">
      <alignment horizontal="center"/>
    </xf>
    <xf numFmtId="14" fontId="0" fillId="3" borderId="16" xfId="0" applyNumberFormat="1" applyFill="1" applyBorder="1"/>
    <xf numFmtId="0" fontId="0" fillId="3" borderId="16" xfId="0" applyFill="1" applyBorder="1"/>
    <xf numFmtId="0" fontId="2" fillId="3" borderId="16" xfId="0" applyFont="1" applyFill="1" applyBorder="1"/>
    <xf numFmtId="0" fontId="6" fillId="3" borderId="0" xfId="0" applyFont="1" applyFill="1"/>
    <xf numFmtId="0" fontId="6" fillId="3" borderId="0" xfId="0" applyFont="1" applyFill="1" applyAlignment="1">
      <alignment horizontal="center" vertical="center"/>
    </xf>
    <xf numFmtId="0" fontId="5" fillId="0" borderId="0" xfId="0" applyFont="1"/>
    <xf numFmtId="44" fontId="5" fillId="0" borderId="0" xfId="1" applyFont="1" applyFill="1"/>
    <xf numFmtId="9" fontId="5" fillId="0" borderId="0" xfId="2" applyFont="1" applyFill="1"/>
    <xf numFmtId="44" fontId="7" fillId="2" borderId="12" xfId="0" applyNumberFormat="1" applyFont="1" applyFill="1" applyBorder="1"/>
    <xf numFmtId="0" fontId="5" fillId="0" borderId="17" xfId="0" applyFont="1" applyBorder="1"/>
    <xf numFmtId="44" fontId="6" fillId="3" borderId="0" xfId="1" applyFont="1" applyFill="1"/>
    <xf numFmtId="44" fontId="6" fillId="3" borderId="0" xfId="0" applyNumberFormat="1" applyFont="1" applyFill="1"/>
    <xf numFmtId="9" fontId="6" fillId="3" borderId="0" xfId="0" applyNumberFormat="1" applyFont="1" applyFill="1"/>
    <xf numFmtId="0" fontId="5" fillId="3" borderId="0" xfId="0" applyFont="1" applyFill="1"/>
    <xf numFmtId="44" fontId="5" fillId="0" borderId="0" xfId="0" applyNumberFormat="1" applyFont="1"/>
  </cellXfs>
  <cellStyles count="3">
    <cellStyle name="Currency" xfId="1" builtinId="4"/>
    <cellStyle name="Normal" xfId="0" builtinId="0"/>
    <cellStyle name="Percent" xfId="2" builtinId="5"/>
  </cellStyles>
  <dxfs count="0"/>
  <tableStyles count="0" defaultTableStyle="TableStyleMedium2" defaultPivotStyle="PivotStyleLight16"/>
  <colors>
    <mruColors>
      <color rgb="FFC8EDB9"/>
      <color rgb="FFFFFFFF"/>
      <color rgb="FFBAF692"/>
      <color rgb="FFC8EDD6"/>
      <color rgb="FFC8EDEA"/>
      <color rgb="FFDFE8A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CheckBox" fmlaLink="N5" lockText="1" noThreeD="1"/>
</file>

<file path=xl/ctrlProps/ctrlProp9.xml><?xml version="1.0" encoding="utf-8"?>
<formControlPr xmlns="http://schemas.microsoft.com/office/spreadsheetml/2009/9/main" objectType="Radio" firstButton="1" fmlaLink="N10" lockText="1" noThreeD="1"/>
</file>

<file path=xl/ctrlProps/ctrlProp10.xml><?xml version="1.0" encoding="utf-8"?>
<formControlPr xmlns="http://schemas.microsoft.com/office/spreadsheetml/2009/9/main" objectType="Radio" lockText="1" noThreeD="1"/>
</file>

<file path=xl/ctrlProps/ctrlProp11.xml><?xml version="1.0" encoding="utf-8"?>
<formControlPr xmlns="http://schemas.microsoft.com/office/spreadsheetml/2009/9/main" objectType="Radio" lockText="1" noThreeD="1"/>
</file>

<file path=xl/ctrlProps/ctrlProp12.xml><?xml version="1.0" encoding="utf-8"?>
<formControlPr xmlns="http://schemas.microsoft.com/office/spreadsheetml/2009/9/main" objectType="Drop" dropStyle="combo" dx="16" fmlaLink="N3" fmlaRange="Prices!$B$2:$B$6" noThreeD="1" sel="2" val="0"/>
</file>

<file path=xl/ctrlProps/ctrlProp13.xml><?xml version="1.0" encoding="utf-8"?>
<formControlPr xmlns="http://schemas.microsoft.com/office/spreadsheetml/2009/9/main" objectType="Spin" dx="22" fmlaLink="N16" max="26" min="1" page="10"/>
</file>

<file path=xl/ctrlProps/ctrlProp14.xml><?xml version="1.0" encoding="utf-8"?>
<formControlPr xmlns="http://schemas.microsoft.com/office/spreadsheetml/2009/9/main" objectType="Drop" dropStyle="combo" dx="16" fmlaLink="I12" fmlaRange="Prices!$F$2:$F$8" noThreeD="1" sel="0" val="0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15</xdr:row>
          <xdr:rowOff>9525</xdr:rowOff>
        </xdr:from>
        <xdr:to>
          <xdr:col>2</xdr:col>
          <xdr:colOff>0</xdr:colOff>
          <xdr:row>17</xdr:row>
          <xdr:rowOff>47625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Order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295275</xdr:colOff>
          <xdr:row>15</xdr:row>
          <xdr:rowOff>0</xdr:rowOff>
        </xdr:from>
        <xdr:to>
          <xdr:col>3</xdr:col>
          <xdr:colOff>219075</xdr:colOff>
          <xdr:row>17</xdr:row>
          <xdr:rowOff>28575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0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Menu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590550</xdr:colOff>
          <xdr:row>15</xdr:row>
          <xdr:rowOff>19050</xdr:rowOff>
        </xdr:from>
        <xdr:to>
          <xdr:col>4</xdr:col>
          <xdr:colOff>514350</xdr:colOff>
          <xdr:row>17</xdr:row>
          <xdr:rowOff>47625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0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Quotes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2</xdr:row>
      <xdr:rowOff>0</xdr:rowOff>
    </xdr:from>
    <xdr:to>
      <xdr:col>9</xdr:col>
      <xdr:colOff>95250</xdr:colOff>
      <xdr:row>4</xdr:row>
      <xdr:rowOff>152400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 txBox="1"/>
      </xdr:nvSpPr>
      <xdr:spPr>
        <a:xfrm>
          <a:off x="1828800" y="381000"/>
          <a:ext cx="3752850" cy="5334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GB" sz="3200" b="1"/>
            <a:t>Denton</a:t>
          </a:r>
          <a:r>
            <a:rPr lang="en-GB" sz="3200" b="1" baseline="0"/>
            <a:t> Gazette</a:t>
          </a:r>
        </a:p>
        <a:p>
          <a:pPr algn="ctr"/>
          <a:r>
            <a:rPr lang="en-GB" sz="3200" b="1" baseline="0"/>
            <a:t>  </a:t>
          </a:r>
          <a:endParaRPr lang="en-GB" sz="2800" b="0"/>
        </a:p>
      </xdr:txBody>
    </xdr:sp>
    <xdr:clientData/>
  </xdr:twoCellAnchor>
  <xdr:twoCellAnchor>
    <xdr:from>
      <xdr:col>3</xdr:col>
      <xdr:colOff>0</xdr:colOff>
      <xdr:row>4</xdr:row>
      <xdr:rowOff>104773</xdr:rowOff>
    </xdr:from>
    <xdr:to>
      <xdr:col>9</xdr:col>
      <xdr:colOff>95250</xdr:colOff>
      <xdr:row>6</xdr:row>
      <xdr:rowOff>190498</xdr:rowOff>
    </xdr:to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 txBox="1"/>
      </xdr:nvSpPr>
      <xdr:spPr>
        <a:xfrm>
          <a:off x="1828800" y="866773"/>
          <a:ext cx="3752850" cy="4667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GB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25 High Street, Denton, DN6 9AA (01976) 434343                                                                                                         </a:t>
          </a:r>
        </a:p>
        <a:p>
          <a:pPr algn="ctr"/>
          <a:r>
            <a:rPr lang="en-GB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www.dentongazette.co.uk</a:t>
          </a:r>
        </a:p>
        <a:p>
          <a:pPr algn="ctr"/>
          <a:r>
            <a:rPr lang="en-GB" sz="1100"/>
            <a:t>                     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228600</xdr:colOff>
          <xdr:row>11</xdr:row>
          <xdr:rowOff>66675</xdr:rowOff>
        </xdr:from>
        <xdr:to>
          <xdr:col>7</xdr:col>
          <xdr:colOff>428625</xdr:colOff>
          <xdr:row>13</xdr:row>
          <xdr:rowOff>171450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1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Costs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228600</xdr:colOff>
          <xdr:row>7</xdr:row>
          <xdr:rowOff>104775</xdr:rowOff>
        </xdr:from>
        <xdr:to>
          <xdr:col>7</xdr:col>
          <xdr:colOff>447675</xdr:colOff>
          <xdr:row>10</xdr:row>
          <xdr:rowOff>38100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1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Order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228600</xdr:colOff>
          <xdr:row>15</xdr:row>
          <xdr:rowOff>28575</xdr:rowOff>
        </xdr:from>
        <xdr:to>
          <xdr:col>7</xdr:col>
          <xdr:colOff>438150</xdr:colOff>
          <xdr:row>17</xdr:row>
          <xdr:rowOff>133350</xdr:rowOff>
        </xdr:to>
        <xdr:sp macro="" textlink="">
          <xdr:nvSpPr>
            <xdr:cNvPr id="6149" name="Button 5" hidden="1">
              <a:extLst>
                <a:ext uri="{63B3BB69-23CF-44E3-9099-C40C66FF867C}">
                  <a14:compatExt spid="_x0000_s6149"/>
                </a:ext>
                <a:ext uri="{FF2B5EF4-FFF2-40B4-BE49-F238E27FC236}">
                  <a16:creationId xmlns:a16="http://schemas.microsoft.com/office/drawing/2014/main" id="{00000000-0008-0000-0100-00000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Quotes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247650</xdr:colOff>
          <xdr:row>19</xdr:row>
          <xdr:rowOff>47625</xdr:rowOff>
        </xdr:from>
        <xdr:to>
          <xdr:col>6</xdr:col>
          <xdr:colOff>447675</xdr:colOff>
          <xdr:row>20</xdr:row>
          <xdr:rowOff>38100</xdr:rowOff>
        </xdr:to>
        <xdr:sp macro="" textlink="">
          <xdr:nvSpPr>
            <xdr:cNvPr id="6150" name="Button 6" hidden="1">
              <a:extLst>
                <a:ext uri="{63B3BB69-23CF-44E3-9099-C40C66FF867C}">
                  <a14:compatExt spid="_x0000_s6150"/>
                </a:ext>
                <a:ext uri="{FF2B5EF4-FFF2-40B4-BE49-F238E27FC236}">
                  <a16:creationId xmlns:a16="http://schemas.microsoft.com/office/drawing/2014/main" id="{00000000-0008-0000-0100-00000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Quit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581025</xdr:colOff>
          <xdr:row>3</xdr:row>
          <xdr:rowOff>38100</xdr:rowOff>
        </xdr:from>
        <xdr:to>
          <xdr:col>12</xdr:col>
          <xdr:colOff>238125</xdr:colOff>
          <xdr:row>6</xdr:row>
          <xdr:rowOff>47625</xdr:rowOff>
        </xdr:to>
        <xdr:sp macro="" textlink="">
          <xdr:nvSpPr>
            <xdr:cNvPr id="2049" name="Check Box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2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Colour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581025</xdr:colOff>
          <xdr:row>6</xdr:row>
          <xdr:rowOff>95250</xdr:rowOff>
        </xdr:from>
        <xdr:to>
          <xdr:col>10</xdr:col>
          <xdr:colOff>600075</xdr:colOff>
          <xdr:row>8</xdr:row>
          <xdr:rowOff>142875</xdr:rowOff>
        </xdr:to>
        <xdr:sp macro="" textlink="">
          <xdr:nvSpPr>
            <xdr:cNvPr id="2050" name="Option 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2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Front page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581025</xdr:colOff>
          <xdr:row>9</xdr:row>
          <xdr:rowOff>0</xdr:rowOff>
        </xdr:from>
        <xdr:to>
          <xdr:col>10</xdr:col>
          <xdr:colOff>600075</xdr:colOff>
          <xdr:row>11</xdr:row>
          <xdr:rowOff>47625</xdr:rowOff>
        </xdr:to>
        <xdr:sp macro="" textlink="">
          <xdr:nvSpPr>
            <xdr:cNvPr id="2051" name="Option 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2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Back page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581025</xdr:colOff>
          <xdr:row>11</xdr:row>
          <xdr:rowOff>95250</xdr:rowOff>
        </xdr:from>
        <xdr:to>
          <xdr:col>10</xdr:col>
          <xdr:colOff>600075</xdr:colOff>
          <xdr:row>13</xdr:row>
          <xdr:rowOff>142875</xdr:rowOff>
        </xdr:to>
        <xdr:sp macro="" textlink="">
          <xdr:nvSpPr>
            <xdr:cNvPr id="2052" name="Option 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2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Inside page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581025</xdr:colOff>
          <xdr:row>1</xdr:row>
          <xdr:rowOff>171450</xdr:rowOff>
        </xdr:from>
        <xdr:to>
          <xdr:col>12</xdr:col>
          <xdr:colOff>485775</xdr:colOff>
          <xdr:row>2</xdr:row>
          <xdr:rowOff>180975</xdr:rowOff>
        </xdr:to>
        <xdr:sp macro="" textlink="">
          <xdr:nvSpPr>
            <xdr:cNvPr id="2053" name="Drop Dow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2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</xdr:col>
      <xdr:colOff>9525</xdr:colOff>
      <xdr:row>1</xdr:row>
      <xdr:rowOff>76201</xdr:rowOff>
    </xdr:from>
    <xdr:to>
      <xdr:col>9</xdr:col>
      <xdr:colOff>0</xdr:colOff>
      <xdr:row>4</xdr:row>
      <xdr:rowOff>28576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 txBox="1"/>
      </xdr:nvSpPr>
      <xdr:spPr>
        <a:xfrm>
          <a:off x="1838325" y="266701"/>
          <a:ext cx="3648075" cy="5334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GB" sz="3200" b="1"/>
            <a:t>Denton</a:t>
          </a:r>
          <a:r>
            <a:rPr lang="en-GB" sz="3200" b="1" baseline="0"/>
            <a:t> Gazette</a:t>
          </a:r>
        </a:p>
        <a:p>
          <a:pPr algn="ctr"/>
          <a:r>
            <a:rPr lang="en-GB" sz="3200" b="1" baseline="0"/>
            <a:t>  </a:t>
          </a:r>
          <a:endParaRPr lang="en-GB" sz="2800" b="0"/>
        </a:p>
      </xdr:txBody>
    </xdr:sp>
    <xdr:clientData/>
  </xdr:twoCellAnchor>
  <xdr:twoCellAnchor>
    <xdr:from>
      <xdr:col>3</xdr:col>
      <xdr:colOff>9525</xdr:colOff>
      <xdr:row>3</xdr:row>
      <xdr:rowOff>171449</xdr:rowOff>
    </xdr:from>
    <xdr:to>
      <xdr:col>9</xdr:col>
      <xdr:colOff>0</xdr:colOff>
      <xdr:row>6</xdr:row>
      <xdr:rowOff>57149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 txBox="1"/>
      </xdr:nvSpPr>
      <xdr:spPr>
        <a:xfrm>
          <a:off x="1838325" y="752474"/>
          <a:ext cx="3648075" cy="4667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GB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25 High Street, Denton, DN6 9AA (01976) 434343                                                                                                         </a:t>
          </a:r>
        </a:p>
        <a:p>
          <a:pPr algn="ctr"/>
          <a:r>
            <a:rPr lang="en-GB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www.dentongazette.co.uk</a:t>
          </a:r>
        </a:p>
        <a:p>
          <a:pPr algn="ctr"/>
          <a:r>
            <a:rPr lang="en-GB" sz="1100"/>
            <a:t>                     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552450</xdr:colOff>
          <xdr:row>14</xdr:row>
          <xdr:rowOff>123825</xdr:rowOff>
        </xdr:from>
        <xdr:to>
          <xdr:col>12</xdr:col>
          <xdr:colOff>295275</xdr:colOff>
          <xdr:row>16</xdr:row>
          <xdr:rowOff>95250</xdr:rowOff>
        </xdr:to>
        <xdr:sp macro="" textlink="">
          <xdr:nvSpPr>
            <xdr:cNvPr id="2054" name="Spinner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2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11</xdr:row>
          <xdr:rowOff>19050</xdr:rowOff>
        </xdr:from>
        <xdr:to>
          <xdr:col>8</xdr:col>
          <xdr:colOff>0</xdr:colOff>
          <xdr:row>12</xdr:row>
          <xdr:rowOff>47625</xdr:rowOff>
        </xdr:to>
        <xdr:sp macro="" textlink="">
          <xdr:nvSpPr>
            <xdr:cNvPr id="2055" name="Drop Down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2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628650</xdr:colOff>
          <xdr:row>22</xdr:row>
          <xdr:rowOff>180975</xdr:rowOff>
        </xdr:from>
        <xdr:to>
          <xdr:col>4</xdr:col>
          <xdr:colOff>457200</xdr:colOff>
          <xdr:row>25</xdr:row>
          <xdr:rowOff>152400</xdr:rowOff>
        </xdr:to>
        <xdr:sp macro="" textlink="">
          <xdr:nvSpPr>
            <xdr:cNvPr id="2056" name="Button 8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2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Prices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28575</xdr:colOff>
          <xdr:row>22</xdr:row>
          <xdr:rowOff>180975</xdr:rowOff>
        </xdr:from>
        <xdr:to>
          <xdr:col>3</xdr:col>
          <xdr:colOff>571500</xdr:colOff>
          <xdr:row>25</xdr:row>
          <xdr:rowOff>152400</xdr:rowOff>
        </xdr:to>
        <xdr:sp macro="" textlink="">
          <xdr:nvSpPr>
            <xdr:cNvPr id="2057" name="Button 9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2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Menu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16</xdr:row>
          <xdr:rowOff>114300</xdr:rowOff>
        </xdr:from>
        <xdr:to>
          <xdr:col>4</xdr:col>
          <xdr:colOff>104775</xdr:colOff>
          <xdr:row>17</xdr:row>
          <xdr:rowOff>104775</xdr:rowOff>
        </xdr:to>
        <xdr:sp macro="" textlink="">
          <xdr:nvSpPr>
            <xdr:cNvPr id="2060" name="Button 12" hidden="1">
              <a:extLst>
                <a:ext uri="{63B3BB69-23CF-44E3-9099-C40C66FF867C}">
                  <a14:compatExt spid="_x0000_s2060"/>
                </a:ext>
                <a:ext uri="{FF2B5EF4-FFF2-40B4-BE49-F238E27FC236}">
                  <a16:creationId xmlns:a16="http://schemas.microsoft.com/office/drawing/2014/main" id="{00000000-0008-0000-0200-00000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17</xdr:row>
          <xdr:rowOff>152400</xdr:rowOff>
        </xdr:from>
        <xdr:to>
          <xdr:col>4</xdr:col>
          <xdr:colOff>104775</xdr:colOff>
          <xdr:row>18</xdr:row>
          <xdr:rowOff>142875</xdr:rowOff>
        </xdr:to>
        <xdr:sp macro="" textlink="">
          <xdr:nvSpPr>
            <xdr:cNvPr id="2061" name="Button 13" hidden="1">
              <a:extLst>
                <a:ext uri="{63B3BB69-23CF-44E3-9099-C40C66FF867C}">
                  <a14:compatExt spid="_x0000_s2061"/>
                </a:ext>
                <a:ext uri="{FF2B5EF4-FFF2-40B4-BE49-F238E27FC236}">
                  <a16:creationId xmlns:a16="http://schemas.microsoft.com/office/drawing/2014/main" id="{00000000-0008-0000-0200-00000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Quit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409575</xdr:colOff>
          <xdr:row>16</xdr:row>
          <xdr:rowOff>95250</xdr:rowOff>
        </xdr:from>
        <xdr:to>
          <xdr:col>8</xdr:col>
          <xdr:colOff>0</xdr:colOff>
          <xdr:row>17</xdr:row>
          <xdr:rowOff>85725</xdr:rowOff>
        </xdr:to>
        <xdr:sp macro="" textlink="">
          <xdr:nvSpPr>
            <xdr:cNvPr id="2062" name="Button 14" hidden="1">
              <a:extLst>
                <a:ext uri="{63B3BB69-23CF-44E3-9099-C40C66FF867C}">
                  <a14:compatExt spid="_x0000_s2062"/>
                </a:ext>
                <a:ext uri="{FF2B5EF4-FFF2-40B4-BE49-F238E27FC236}">
                  <a16:creationId xmlns:a16="http://schemas.microsoft.com/office/drawing/2014/main" id="{00000000-0008-0000-0200-00000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409575</xdr:colOff>
          <xdr:row>17</xdr:row>
          <xdr:rowOff>142875</xdr:rowOff>
        </xdr:from>
        <xdr:to>
          <xdr:col>8</xdr:col>
          <xdr:colOff>9525</xdr:colOff>
          <xdr:row>18</xdr:row>
          <xdr:rowOff>114300</xdr:rowOff>
        </xdr:to>
        <xdr:sp macro="" textlink="">
          <xdr:nvSpPr>
            <xdr:cNvPr id="2064" name="Button 16" hidden="1">
              <a:extLst>
                <a:ext uri="{63B3BB69-23CF-44E3-9099-C40C66FF867C}">
                  <a14:compatExt spid="_x0000_s2064"/>
                </a:ext>
                <a:ext uri="{FF2B5EF4-FFF2-40B4-BE49-F238E27FC236}">
                  <a16:creationId xmlns:a16="http://schemas.microsoft.com/office/drawing/2014/main" id="{00000000-0008-0000-0200-00001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New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523875</xdr:colOff>
          <xdr:row>23</xdr:row>
          <xdr:rowOff>0</xdr:rowOff>
        </xdr:from>
        <xdr:to>
          <xdr:col>5</xdr:col>
          <xdr:colOff>457200</xdr:colOff>
          <xdr:row>25</xdr:row>
          <xdr:rowOff>161925</xdr:rowOff>
        </xdr:to>
        <xdr:sp macro="" textlink="">
          <xdr:nvSpPr>
            <xdr:cNvPr id="2065" name="Button 17" hidden="1">
              <a:extLst>
                <a:ext uri="{63B3BB69-23CF-44E3-9099-C40C66FF867C}">
                  <a14:compatExt spid="_x0000_s2065"/>
                </a:ext>
                <a:ext uri="{FF2B5EF4-FFF2-40B4-BE49-F238E27FC236}">
                  <a16:creationId xmlns:a16="http://schemas.microsoft.com/office/drawing/2014/main" id="{00000000-0008-0000-0200-00001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Quotes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ctrlProp" Target="../ctrlProps/ctrlProp7.xml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2.xml"/><Relationship Id="rId13" Type="http://schemas.openxmlformats.org/officeDocument/2006/relationships/ctrlProp" Target="../ctrlProps/ctrlProp17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11.xml"/><Relationship Id="rId12" Type="http://schemas.openxmlformats.org/officeDocument/2006/relationships/ctrlProp" Target="../ctrlProps/ctrlProp16.xml"/><Relationship Id="rId17" Type="http://schemas.openxmlformats.org/officeDocument/2006/relationships/ctrlProp" Target="../ctrlProps/ctrlProp21.xml"/><Relationship Id="rId2" Type="http://schemas.openxmlformats.org/officeDocument/2006/relationships/drawing" Target="../drawings/drawing3.xml"/><Relationship Id="rId16" Type="http://schemas.openxmlformats.org/officeDocument/2006/relationships/ctrlProp" Target="../ctrlProps/ctrlProp20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10.xml"/><Relationship Id="rId11" Type="http://schemas.openxmlformats.org/officeDocument/2006/relationships/ctrlProp" Target="../ctrlProps/ctrlProp15.xml"/><Relationship Id="rId5" Type="http://schemas.openxmlformats.org/officeDocument/2006/relationships/ctrlProp" Target="../ctrlProps/ctrlProp9.xml"/><Relationship Id="rId15" Type="http://schemas.openxmlformats.org/officeDocument/2006/relationships/ctrlProp" Target="../ctrlProps/ctrlProp19.xml"/><Relationship Id="rId10" Type="http://schemas.openxmlformats.org/officeDocument/2006/relationships/ctrlProp" Target="../ctrlProps/ctrlProp14.xml"/><Relationship Id="rId4" Type="http://schemas.openxmlformats.org/officeDocument/2006/relationships/ctrlProp" Target="../ctrlProps/ctrlProp8.xml"/><Relationship Id="rId9" Type="http://schemas.openxmlformats.org/officeDocument/2006/relationships/ctrlProp" Target="../ctrlProps/ctrlProp13.xml"/><Relationship Id="rId14" Type="http://schemas.openxmlformats.org/officeDocument/2006/relationships/ctrlProp" Target="../ctrlProps/ctrlProp18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9" tint="-0.249977111117893"/>
  </sheetPr>
  <dimension ref="A1:H8"/>
  <sheetViews>
    <sheetView tabSelected="1" workbookViewId="0">
      <selection activeCell="A2" sqref="A2:C6"/>
    </sheetView>
  </sheetViews>
  <sheetFormatPr defaultColWidth="12.7109375" defaultRowHeight="15" x14ac:dyDescent="0.25"/>
  <cols>
    <col min="1" max="7" width="12.7109375" style="1"/>
    <col min="8" max="8" width="13.7109375" style="1" bestFit="1" customWidth="1"/>
    <col min="9" max="16384" width="12.7109375" style="1"/>
  </cols>
  <sheetData>
    <row r="1" spans="1:8" x14ac:dyDescent="0.25">
      <c r="A1" s="1" t="s">
        <v>0</v>
      </c>
      <c r="B1" s="1" t="s">
        <v>1</v>
      </c>
      <c r="C1" s="37" t="s">
        <v>2</v>
      </c>
      <c r="F1" s="1" t="s">
        <v>15</v>
      </c>
      <c r="G1" s="1" t="s">
        <v>16</v>
      </c>
      <c r="H1" s="1" t="s">
        <v>17</v>
      </c>
    </row>
    <row r="2" spans="1:8" x14ac:dyDescent="0.25">
      <c r="A2" s="1">
        <v>1</v>
      </c>
      <c r="B2" s="26" t="s">
        <v>3</v>
      </c>
      <c r="C2" s="33">
        <v>560</v>
      </c>
      <c r="E2" s="1">
        <v>1</v>
      </c>
      <c r="F2" s="26" t="s">
        <v>18</v>
      </c>
      <c r="G2" s="27" t="s">
        <v>25</v>
      </c>
      <c r="H2" s="34" t="s">
        <v>32</v>
      </c>
    </row>
    <row r="3" spans="1:8" x14ac:dyDescent="0.25">
      <c r="A3" s="1">
        <v>2</v>
      </c>
      <c r="B3" s="28" t="s">
        <v>4</v>
      </c>
      <c r="C3" s="29">
        <v>300</v>
      </c>
      <c r="E3" s="1">
        <v>2</v>
      </c>
      <c r="F3" s="28" t="s">
        <v>19</v>
      </c>
      <c r="G3" s="17" t="s">
        <v>26</v>
      </c>
      <c r="H3" s="35" t="s">
        <v>33</v>
      </c>
    </row>
    <row r="4" spans="1:8" x14ac:dyDescent="0.25">
      <c r="A4" s="1">
        <v>3</v>
      </c>
      <c r="B4" s="28" t="s">
        <v>5</v>
      </c>
      <c r="C4" s="29">
        <v>160</v>
      </c>
      <c r="E4" s="1">
        <v>3</v>
      </c>
      <c r="F4" s="28" t="s">
        <v>20</v>
      </c>
      <c r="G4" s="17" t="s">
        <v>27</v>
      </c>
      <c r="H4" s="35" t="s">
        <v>34</v>
      </c>
    </row>
    <row r="5" spans="1:8" x14ac:dyDescent="0.25">
      <c r="A5" s="1">
        <v>4</v>
      </c>
      <c r="B5" s="28" t="s">
        <v>6</v>
      </c>
      <c r="C5" s="29">
        <v>85</v>
      </c>
      <c r="E5" s="1">
        <v>4</v>
      </c>
      <c r="F5" s="28" t="s">
        <v>21</v>
      </c>
      <c r="G5" s="17" t="s">
        <v>28</v>
      </c>
      <c r="H5" s="35" t="s">
        <v>35</v>
      </c>
    </row>
    <row r="6" spans="1:8" x14ac:dyDescent="0.25">
      <c r="A6" s="1">
        <v>5</v>
      </c>
      <c r="B6" s="30" t="s">
        <v>7</v>
      </c>
      <c r="C6" s="32">
        <v>60</v>
      </c>
      <c r="E6" s="1">
        <v>5</v>
      </c>
      <c r="F6" s="28" t="s">
        <v>22</v>
      </c>
      <c r="G6" s="17" t="s">
        <v>29</v>
      </c>
      <c r="H6" s="35" t="s">
        <v>36</v>
      </c>
    </row>
    <row r="7" spans="1:8" x14ac:dyDescent="0.25">
      <c r="E7" s="1">
        <v>6</v>
      </c>
      <c r="F7" s="28" t="s">
        <v>23</v>
      </c>
      <c r="G7" s="17" t="s">
        <v>30</v>
      </c>
      <c r="H7" s="35" t="s">
        <v>37</v>
      </c>
    </row>
    <row r="8" spans="1:8" x14ac:dyDescent="0.25">
      <c r="A8" s="1" t="s">
        <v>8</v>
      </c>
      <c r="E8" s="1">
        <v>7</v>
      </c>
      <c r="F8" s="30" t="s">
        <v>24</v>
      </c>
      <c r="G8" s="31" t="s">
        <v>31</v>
      </c>
      <c r="H8" s="36" t="s">
        <v>38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Quote">
                <anchor moveWithCells="1" sizeWithCells="1">
                  <from>
                    <xdr:col>1</xdr:col>
                    <xdr:colOff>0</xdr:colOff>
                    <xdr:row>15</xdr:row>
                    <xdr:rowOff>9525</xdr:rowOff>
                  </from>
                  <to>
                    <xdr:col>2</xdr:col>
                    <xdr:colOff>0</xdr:colOff>
                    <xdr:row>17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Button 2">
              <controlPr defaultSize="0" print="0" autoFill="0" autoPict="0" macro="[0]!Menu">
                <anchor moveWithCells="1" sizeWithCells="1">
                  <from>
                    <xdr:col>2</xdr:col>
                    <xdr:colOff>295275</xdr:colOff>
                    <xdr:row>15</xdr:row>
                    <xdr:rowOff>0</xdr:rowOff>
                  </from>
                  <to>
                    <xdr:col>3</xdr:col>
                    <xdr:colOff>219075</xdr:colOff>
                    <xdr:row>17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6" name="Button 3">
              <controlPr defaultSize="0" print="0" autoFill="0" autoPict="0" macro="[0]!saveQuote">
                <anchor moveWithCells="1" sizeWithCells="1">
                  <from>
                    <xdr:col>3</xdr:col>
                    <xdr:colOff>590550</xdr:colOff>
                    <xdr:row>15</xdr:row>
                    <xdr:rowOff>19050</xdr:rowOff>
                  </from>
                  <to>
                    <xdr:col>4</xdr:col>
                    <xdr:colOff>514350</xdr:colOff>
                    <xdr:row>17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>
    <tabColor theme="7" tint="-0.249977111117893"/>
  </sheetPr>
  <dimension ref="D3:I7"/>
  <sheetViews>
    <sheetView workbookViewId="0">
      <selection activeCell="H20" sqref="H20"/>
    </sheetView>
  </sheetViews>
  <sheetFormatPr defaultRowHeight="15" x14ac:dyDescent="0.25"/>
  <cols>
    <col min="1" max="16384" width="9.140625" style="1"/>
  </cols>
  <sheetData>
    <row r="3" spans="4:9" x14ac:dyDescent="0.25">
      <c r="D3" s="18"/>
      <c r="E3" s="19"/>
      <c r="F3" s="19"/>
      <c r="G3" s="19"/>
      <c r="H3" s="19"/>
      <c r="I3" s="20"/>
    </row>
    <row r="4" spans="4:9" x14ac:dyDescent="0.25">
      <c r="D4" s="21"/>
      <c r="E4" s="6"/>
      <c r="F4" s="6"/>
      <c r="G4" s="6"/>
      <c r="H4" s="6"/>
      <c r="I4" s="22"/>
    </row>
    <row r="5" spans="4:9" x14ac:dyDescent="0.25">
      <c r="D5" s="21"/>
      <c r="E5" s="6"/>
      <c r="F5" s="6"/>
      <c r="G5" s="6"/>
      <c r="H5" s="6"/>
      <c r="I5" s="22"/>
    </row>
    <row r="6" spans="4:9" x14ac:dyDescent="0.25">
      <c r="D6" s="21"/>
      <c r="E6" s="6"/>
      <c r="F6" s="6"/>
      <c r="G6" s="6"/>
      <c r="H6" s="6"/>
      <c r="I6" s="22"/>
    </row>
    <row r="7" spans="4:9" x14ac:dyDescent="0.25">
      <c r="D7" s="23"/>
      <c r="E7" s="24"/>
      <c r="F7" s="24"/>
      <c r="G7" s="24"/>
      <c r="H7" s="24"/>
      <c r="I7" s="25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Button 1">
              <controlPr defaultSize="0" print="0" autoFill="0" autoPict="0" macro="[0]!Cost">
                <anchor moveWithCells="1" sizeWithCells="1">
                  <from>
                    <xdr:col>4</xdr:col>
                    <xdr:colOff>228600</xdr:colOff>
                    <xdr:row>11</xdr:row>
                    <xdr:rowOff>66675</xdr:rowOff>
                  </from>
                  <to>
                    <xdr:col>7</xdr:col>
                    <xdr:colOff>428625</xdr:colOff>
                    <xdr:row>13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4" name="Button 2">
              <controlPr defaultSize="0" print="0" autoFill="0" autoPict="0" macro="[0]!Quote">
                <anchor moveWithCells="1" sizeWithCells="1">
                  <from>
                    <xdr:col>4</xdr:col>
                    <xdr:colOff>228600</xdr:colOff>
                    <xdr:row>7</xdr:row>
                    <xdr:rowOff>104775</xdr:rowOff>
                  </from>
                  <to>
                    <xdr:col>7</xdr:col>
                    <xdr:colOff>447675</xdr:colOff>
                    <xdr:row>10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9" r:id="rId5" name="Button 5">
              <controlPr defaultSize="0" print="0" autoFill="0" autoPict="0" macro="[0]!saveQuote">
                <anchor moveWithCells="1" sizeWithCells="1">
                  <from>
                    <xdr:col>4</xdr:col>
                    <xdr:colOff>228600</xdr:colOff>
                    <xdr:row>15</xdr:row>
                    <xdr:rowOff>28575</xdr:rowOff>
                  </from>
                  <to>
                    <xdr:col>7</xdr:col>
                    <xdr:colOff>438150</xdr:colOff>
                    <xdr:row>17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0" r:id="rId6" name="Button 6">
              <controlPr defaultSize="0" print="0" autoFill="0" autoPict="0" macro="[0]!_xludf.qUIT">
                <anchor moveWithCells="1" sizeWithCells="1">
                  <from>
                    <xdr:col>5</xdr:col>
                    <xdr:colOff>247650</xdr:colOff>
                    <xdr:row>19</xdr:row>
                    <xdr:rowOff>47625</xdr:rowOff>
                  </from>
                  <to>
                    <xdr:col>6</xdr:col>
                    <xdr:colOff>447675</xdr:colOff>
                    <xdr:row>20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>
    <tabColor theme="2" tint="-0.749992370372631"/>
  </sheetPr>
  <dimension ref="D2:R33"/>
  <sheetViews>
    <sheetView zoomScaleNormal="100" workbookViewId="0">
      <selection activeCell="F23" sqref="F23"/>
    </sheetView>
  </sheetViews>
  <sheetFormatPr defaultRowHeight="15" x14ac:dyDescent="0.25"/>
  <cols>
    <col min="1" max="3" width="9.140625" style="1"/>
    <col min="4" max="4" width="10.7109375" style="1" bestFit="1" customWidth="1"/>
    <col min="5" max="13" width="9.140625" style="1"/>
    <col min="14" max="14" width="10" style="1" bestFit="1" customWidth="1"/>
    <col min="15" max="15" width="9.140625" style="1"/>
    <col min="16" max="16" width="12.28515625" style="1" customWidth="1"/>
    <col min="17" max="16384" width="9.140625" style="1"/>
  </cols>
  <sheetData>
    <row r="2" spans="4:18" ht="15.75" thickBot="1" x14ac:dyDescent="0.3"/>
    <row r="3" spans="4:18" x14ac:dyDescent="0.25">
      <c r="D3" s="2"/>
      <c r="E3" s="3"/>
      <c r="F3" s="3"/>
      <c r="G3" s="3"/>
      <c r="H3" s="3"/>
      <c r="I3" s="4"/>
      <c r="N3" s="42">
        <v>2</v>
      </c>
      <c r="P3" s="48">
        <f>VLOOKUP(N3,Prices,3)</f>
        <v>300</v>
      </c>
      <c r="Q3" s="41"/>
      <c r="R3" s="41" t="str">
        <f>VLOOKUP(N3, Prices, 2)</f>
        <v>Half Page</v>
      </c>
    </row>
    <row r="4" spans="4:18" x14ac:dyDescent="0.25">
      <c r="D4" s="5"/>
      <c r="E4" s="6"/>
      <c r="F4" s="6"/>
      <c r="G4" s="6"/>
      <c r="H4" s="6"/>
      <c r="I4" s="7"/>
      <c r="P4" s="41"/>
      <c r="Q4" s="41"/>
    </row>
    <row r="5" spans="4:18" x14ac:dyDescent="0.25">
      <c r="D5" s="5"/>
      <c r="E5" s="6"/>
      <c r="F5" s="6"/>
      <c r="G5" s="6"/>
      <c r="H5" s="6"/>
      <c r="I5" s="7"/>
      <c r="N5" s="41"/>
      <c r="P5" s="41">
        <f>IF(N5=FALSE,1,1.3)</f>
        <v>1</v>
      </c>
      <c r="Q5" s="41"/>
      <c r="R5" s="41" t="str">
        <f>IF(P5=1.3, "Color", "Black &amp; White")</f>
        <v>Black &amp; White</v>
      </c>
    </row>
    <row r="6" spans="4:18" ht="15.75" thickBot="1" x14ac:dyDescent="0.3">
      <c r="D6" s="8"/>
      <c r="E6" s="9"/>
      <c r="F6" s="9"/>
      <c r="G6" s="9"/>
      <c r="H6" s="9"/>
      <c r="I6" s="10"/>
      <c r="P6" s="41"/>
      <c r="Q6" s="41"/>
    </row>
    <row r="7" spans="4:18" x14ac:dyDescent="0.25">
      <c r="P7" s="41"/>
      <c r="Q7" s="41"/>
    </row>
    <row r="8" spans="4:18" x14ac:dyDescent="0.25">
      <c r="D8" s="38">
        <f ca="1">TODAY()</f>
        <v>45086</v>
      </c>
      <c r="H8" s="1" t="s">
        <v>51</v>
      </c>
      <c r="I8" s="1">
        <v>18</v>
      </c>
      <c r="P8" s="41"/>
      <c r="Q8" s="41"/>
    </row>
    <row r="9" spans="4:18" x14ac:dyDescent="0.25">
      <c r="P9" s="41"/>
      <c r="Q9" s="41"/>
    </row>
    <row r="10" spans="4:18" x14ac:dyDescent="0.25">
      <c r="D10" s="40" t="s">
        <v>13</v>
      </c>
      <c r="N10" s="41"/>
      <c r="P10" s="41">
        <f>IF(N10=1,1.5,IF(N10=2,1.4,1))</f>
        <v>1</v>
      </c>
      <c r="Q10" s="41"/>
      <c r="R10" s="41" t="str">
        <f>IF(N10=1,"Front Page",IF(N10=2,"Back Page","Inside Page"))</f>
        <v>Inside Page</v>
      </c>
    </row>
    <row r="11" spans="4:18" x14ac:dyDescent="0.25">
      <c r="D11" s="39"/>
      <c r="P11" s="41"/>
      <c r="Q11" s="41"/>
    </row>
    <row r="12" spans="4:18" x14ac:dyDescent="0.25">
      <c r="D12" s="39" t="s">
        <v>14</v>
      </c>
      <c r="I12" s="41"/>
      <c r="P12" s="51"/>
    </row>
    <row r="13" spans="4:18" x14ac:dyDescent="0.25">
      <c r="D13" s="39"/>
      <c r="P13" s="51"/>
    </row>
    <row r="14" spans="4:18" x14ac:dyDescent="0.25">
      <c r="D14" s="39" t="s">
        <v>39</v>
      </c>
      <c r="E14" s="11" t="e">
        <f>VLOOKUP(I12,Customers,4)</f>
        <v>#N/A</v>
      </c>
      <c r="F14" s="12"/>
      <c r="G14" s="12"/>
      <c r="H14" s="14"/>
      <c r="P14" s="51"/>
    </row>
    <row r="15" spans="4:18" x14ac:dyDescent="0.25">
      <c r="D15" s="39"/>
      <c r="P15" s="51"/>
    </row>
    <row r="16" spans="4:18" x14ac:dyDescent="0.25">
      <c r="D16" s="39" t="s">
        <v>40</v>
      </c>
      <c r="E16" s="11" t="e">
        <f>VLOOKUP(I12,Customers,3)</f>
        <v>#N/A</v>
      </c>
      <c r="F16" s="12"/>
      <c r="G16" s="12"/>
      <c r="H16" s="13"/>
      <c r="K16" s="1" t="s">
        <v>9</v>
      </c>
      <c r="N16" s="15">
        <v>1</v>
      </c>
    </row>
    <row r="20" spans="6:14" x14ac:dyDescent="0.25">
      <c r="K20" s="1" t="s">
        <v>10</v>
      </c>
      <c r="N20" s="46">
        <f>P3*P5*P10*N16</f>
        <v>300</v>
      </c>
    </row>
    <row r="23" spans="6:14" x14ac:dyDescent="0.25">
      <c r="F23" s="1" t="s">
        <v>41</v>
      </c>
      <c r="K23" s="1" t="s">
        <v>11</v>
      </c>
      <c r="N23" s="16">
        <f>IF(N16&gt;=10,0.2,IF(N16&gt;=4,0.1, 0))</f>
        <v>0</v>
      </c>
    </row>
    <row r="26" spans="6:14" x14ac:dyDescent="0.25">
      <c r="K26" s="1" t="s">
        <v>12</v>
      </c>
      <c r="N26" s="46">
        <f>N20-(N20*N23)</f>
        <v>300</v>
      </c>
    </row>
    <row r="33" spans="4:14" x14ac:dyDescent="0.25">
      <c r="D33" s="41" t="e">
        <f>VLOOKUP(I12, Customers, 2)</f>
        <v>#N/A</v>
      </c>
      <c r="E33" s="41" t="e">
        <f>E14</f>
        <v>#N/A</v>
      </c>
      <c r="F33" s="41" t="e">
        <f>E16</f>
        <v>#N/A</v>
      </c>
      <c r="G33" s="41" t="str">
        <f>R3</f>
        <v>Half Page</v>
      </c>
      <c r="H33" s="41" t="str">
        <f>R5</f>
        <v>Black &amp; White</v>
      </c>
      <c r="I33" s="41" t="str">
        <f>R10</f>
        <v>Inside Page</v>
      </c>
      <c r="J33" s="41">
        <f>N16</f>
        <v>1</v>
      </c>
      <c r="K33" s="49">
        <f>N20</f>
        <v>300</v>
      </c>
      <c r="L33" s="49">
        <f>N26</f>
        <v>300</v>
      </c>
      <c r="M33" s="50">
        <f>N23</f>
        <v>0</v>
      </c>
      <c r="N33" s="41">
        <f>I8</f>
        <v>18</v>
      </c>
    </row>
  </sheetData>
  <pageMargins left="0.7" right="0.7" top="0.75" bottom="0.75" header="0.3" footer="0.3"/>
  <pageSetup paperSize="9" orientation="portrait" r:id="rId1"/>
  <ignoredErrors>
    <ignoredError sqref="G33 K33:L33 P3 N20 R3" evalError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Check Box 1">
              <controlPr defaultSize="0" autoFill="0" autoLine="0" autoPict="0">
                <anchor moveWithCells="1">
                  <from>
                    <xdr:col>9</xdr:col>
                    <xdr:colOff>581025</xdr:colOff>
                    <xdr:row>3</xdr:row>
                    <xdr:rowOff>38100</xdr:rowOff>
                  </from>
                  <to>
                    <xdr:col>12</xdr:col>
                    <xdr:colOff>238125</xdr:colOff>
                    <xdr:row>6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Option Button 2">
              <controlPr defaultSize="0" autoFill="0" autoLine="0" autoPict="0">
                <anchor moveWithCells="1">
                  <from>
                    <xdr:col>9</xdr:col>
                    <xdr:colOff>581025</xdr:colOff>
                    <xdr:row>6</xdr:row>
                    <xdr:rowOff>95250</xdr:rowOff>
                  </from>
                  <to>
                    <xdr:col>10</xdr:col>
                    <xdr:colOff>600075</xdr:colOff>
                    <xdr:row>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Option Button 3">
              <controlPr defaultSize="0" autoFill="0" autoLine="0" autoPict="0">
                <anchor moveWithCells="1">
                  <from>
                    <xdr:col>9</xdr:col>
                    <xdr:colOff>581025</xdr:colOff>
                    <xdr:row>9</xdr:row>
                    <xdr:rowOff>0</xdr:rowOff>
                  </from>
                  <to>
                    <xdr:col>10</xdr:col>
                    <xdr:colOff>600075</xdr:colOff>
                    <xdr:row>11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7" name="Option Button 4">
              <controlPr defaultSize="0" autoFill="0" autoLine="0" autoPict="0">
                <anchor moveWithCells="1">
                  <from>
                    <xdr:col>9</xdr:col>
                    <xdr:colOff>581025</xdr:colOff>
                    <xdr:row>11</xdr:row>
                    <xdr:rowOff>95250</xdr:rowOff>
                  </from>
                  <to>
                    <xdr:col>10</xdr:col>
                    <xdr:colOff>600075</xdr:colOff>
                    <xdr:row>13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8" name="Drop Down 5">
              <controlPr defaultSize="0" autoLine="0" autoPict="0">
                <anchor moveWithCells="1">
                  <from>
                    <xdr:col>9</xdr:col>
                    <xdr:colOff>581025</xdr:colOff>
                    <xdr:row>1</xdr:row>
                    <xdr:rowOff>171450</xdr:rowOff>
                  </from>
                  <to>
                    <xdr:col>12</xdr:col>
                    <xdr:colOff>485775</xdr:colOff>
                    <xdr:row>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9" name="Spinner 6">
              <controlPr defaultSize="0" autoPict="0">
                <anchor moveWithCells="1" sizeWithCells="1">
                  <from>
                    <xdr:col>11</xdr:col>
                    <xdr:colOff>552450</xdr:colOff>
                    <xdr:row>14</xdr:row>
                    <xdr:rowOff>123825</xdr:rowOff>
                  </from>
                  <to>
                    <xdr:col>12</xdr:col>
                    <xdr:colOff>295275</xdr:colOff>
                    <xdr:row>16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10" name="Drop Down 7">
              <controlPr defaultSize="0" autoLine="0" autoPict="0">
                <anchor moveWithCells="1">
                  <from>
                    <xdr:col>4</xdr:col>
                    <xdr:colOff>0</xdr:colOff>
                    <xdr:row>11</xdr:row>
                    <xdr:rowOff>19050</xdr:rowOff>
                  </from>
                  <to>
                    <xdr:col>8</xdr:col>
                    <xdr:colOff>0</xdr:colOff>
                    <xdr:row>12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11" name="Button 8">
              <controlPr defaultSize="0" print="0" autoFill="0" autoPict="0" macro="[0]!Cost">
                <anchor moveWithCells="1" sizeWithCells="1">
                  <from>
                    <xdr:col>3</xdr:col>
                    <xdr:colOff>628650</xdr:colOff>
                    <xdr:row>22</xdr:row>
                    <xdr:rowOff>180975</xdr:rowOff>
                  </from>
                  <to>
                    <xdr:col>4</xdr:col>
                    <xdr:colOff>457200</xdr:colOff>
                    <xdr:row>25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12" name="Button 9">
              <controlPr defaultSize="0" print="0" autoFill="0" autoPict="0" macro="[0]!Menu">
                <anchor moveWithCells="1" sizeWithCells="1">
                  <from>
                    <xdr:col>3</xdr:col>
                    <xdr:colOff>28575</xdr:colOff>
                    <xdr:row>22</xdr:row>
                    <xdr:rowOff>180975</xdr:rowOff>
                  </from>
                  <to>
                    <xdr:col>3</xdr:col>
                    <xdr:colOff>571500</xdr:colOff>
                    <xdr:row>25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0" r:id="rId13" name="Button 12">
              <controlPr defaultSize="0" print="0" autoFill="0" autoPict="0" macro="[0]!_xludf.Clear">
                <anchor moveWithCells="1" sizeWithCells="1">
                  <from>
                    <xdr:col>3</xdr:col>
                    <xdr:colOff>9525</xdr:colOff>
                    <xdr:row>16</xdr:row>
                    <xdr:rowOff>114300</xdr:rowOff>
                  </from>
                  <to>
                    <xdr:col>4</xdr:col>
                    <xdr:colOff>104775</xdr:colOff>
                    <xdr:row>17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1" r:id="rId14" name="Button 13">
              <controlPr defaultSize="0" print="0" autoFill="0" autoPict="0" macro="[0]!_xludf.qUIT">
                <anchor moveWithCells="1" sizeWithCells="1">
                  <from>
                    <xdr:col>3</xdr:col>
                    <xdr:colOff>9525</xdr:colOff>
                    <xdr:row>17</xdr:row>
                    <xdr:rowOff>152400</xdr:rowOff>
                  </from>
                  <to>
                    <xdr:col>4</xdr:col>
                    <xdr:colOff>104775</xdr:colOff>
                    <xdr:row>18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2" r:id="rId15" name="Button 14">
              <controlPr defaultSize="0" print="0" autoFill="0" autoPict="0" macro="[0]!_xludf.Save">
                <anchor moveWithCells="1" sizeWithCells="1">
                  <from>
                    <xdr:col>6</xdr:col>
                    <xdr:colOff>409575</xdr:colOff>
                    <xdr:row>16</xdr:row>
                    <xdr:rowOff>95250</xdr:rowOff>
                  </from>
                  <to>
                    <xdr:col>8</xdr:col>
                    <xdr:colOff>0</xdr:colOff>
                    <xdr:row>17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4" r:id="rId16" name="Button 16">
              <controlPr defaultSize="0" print="0" autoFill="0" autoPict="0" macro="[0]!newQuote">
                <anchor moveWithCells="1" sizeWithCells="1">
                  <from>
                    <xdr:col>6</xdr:col>
                    <xdr:colOff>409575</xdr:colOff>
                    <xdr:row>17</xdr:row>
                    <xdr:rowOff>142875</xdr:rowOff>
                  </from>
                  <to>
                    <xdr:col>8</xdr:col>
                    <xdr:colOff>9525</xdr:colOff>
                    <xdr:row>18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5" r:id="rId17" name="Button 17">
              <controlPr defaultSize="0" print="0" autoFill="0" autoPict="0" macro="[0]!saveQuote">
                <anchor moveWithCells="1" sizeWithCells="1">
                  <from>
                    <xdr:col>4</xdr:col>
                    <xdr:colOff>523875</xdr:colOff>
                    <xdr:row>23</xdr:row>
                    <xdr:rowOff>0</xdr:rowOff>
                  </from>
                  <to>
                    <xdr:col>5</xdr:col>
                    <xdr:colOff>457200</xdr:colOff>
                    <xdr:row>25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tabColor theme="4" tint="-0.249977111117893"/>
  </sheetPr>
  <dimension ref="A1:P32"/>
  <sheetViews>
    <sheetView topLeftCell="E1" workbookViewId="0">
      <selection activeCell="O1" sqref="O1"/>
    </sheetView>
  </sheetViews>
  <sheetFormatPr defaultRowHeight="15" x14ac:dyDescent="0.25"/>
  <cols>
    <col min="1" max="1" width="14.42578125" style="43" customWidth="1"/>
    <col min="2" max="2" width="16.85546875" style="43" customWidth="1"/>
    <col min="3" max="3" width="15.140625" style="43" customWidth="1"/>
    <col min="4" max="4" width="12.5703125" style="43" customWidth="1"/>
    <col min="5" max="5" width="13.85546875" style="43" customWidth="1"/>
    <col min="6" max="6" width="11.28515625" style="43" customWidth="1"/>
    <col min="7" max="7" width="9.140625" style="43"/>
    <col min="8" max="8" width="12.5703125" style="44" customWidth="1"/>
    <col min="9" max="9" width="11.85546875" style="44" customWidth="1"/>
    <col min="10" max="10" width="9.42578125" style="45" customWidth="1"/>
    <col min="11" max="11" width="11.85546875" style="43" customWidth="1"/>
    <col min="12" max="14" width="9.140625" style="43"/>
    <col min="15" max="15" width="10.5703125" style="43" bestFit="1" customWidth="1"/>
    <col min="16" max="16384" width="9.140625" style="43"/>
  </cols>
  <sheetData>
    <row r="1" spans="1:16" x14ac:dyDescent="0.25">
      <c r="A1" s="43" t="s">
        <v>14</v>
      </c>
      <c r="B1" s="43" t="s">
        <v>42</v>
      </c>
      <c r="C1" s="43" t="s">
        <v>43</v>
      </c>
      <c r="D1" s="43" t="s">
        <v>44</v>
      </c>
      <c r="E1" s="43" t="s">
        <v>45</v>
      </c>
      <c r="F1" s="43" t="s">
        <v>46</v>
      </c>
      <c r="G1" s="43" t="s">
        <v>47</v>
      </c>
      <c r="H1" s="44" t="s">
        <v>10</v>
      </c>
      <c r="I1" s="44" t="s">
        <v>48</v>
      </c>
      <c r="J1" s="45" t="s">
        <v>11</v>
      </c>
      <c r="K1" s="43" t="s">
        <v>50</v>
      </c>
      <c r="M1" s="43" t="s">
        <v>56</v>
      </c>
      <c r="O1" s="52">
        <f>AVERAGE($I$2:$I$5)</f>
        <v>5440</v>
      </c>
    </row>
    <row r="2" spans="1:16" x14ac:dyDescent="0.25">
      <c r="A2" s="43" t="s">
        <v>23</v>
      </c>
      <c r="B2" s="43" t="s">
        <v>37</v>
      </c>
      <c r="C2" s="43" t="s">
        <v>30</v>
      </c>
      <c r="D2" s="43" t="s">
        <v>3</v>
      </c>
      <c r="E2" s="43" t="s">
        <v>52</v>
      </c>
      <c r="F2" s="43" t="s">
        <v>53</v>
      </c>
      <c r="G2" s="43">
        <v>10</v>
      </c>
      <c r="H2" s="44">
        <v>5600</v>
      </c>
      <c r="I2" s="44">
        <v>4480</v>
      </c>
      <c r="J2" s="45">
        <v>0.2</v>
      </c>
      <c r="K2" s="43">
        <v>11</v>
      </c>
      <c r="M2" s="43" t="s">
        <v>57</v>
      </c>
      <c r="O2" s="43" t="e">
        <f>AVERAGE(D2:D5)</f>
        <v>#DIV/0!</v>
      </c>
    </row>
    <row r="3" spans="1:16" x14ac:dyDescent="0.25">
      <c r="A3" s="43" t="s">
        <v>22</v>
      </c>
      <c r="B3" s="43" t="s">
        <v>36</v>
      </c>
      <c r="C3" s="43" t="s">
        <v>29</v>
      </c>
      <c r="D3" s="43" t="s">
        <v>3</v>
      </c>
      <c r="E3" s="43" t="s">
        <v>52</v>
      </c>
      <c r="F3" s="43" t="s">
        <v>55</v>
      </c>
      <c r="G3" s="43">
        <v>8</v>
      </c>
      <c r="H3" s="44">
        <v>6720</v>
      </c>
      <c r="I3" s="44">
        <v>6048</v>
      </c>
      <c r="J3" s="45">
        <v>0.1</v>
      </c>
      <c r="K3" s="43">
        <v>11</v>
      </c>
      <c r="M3" s="43" t="s">
        <v>58</v>
      </c>
    </row>
    <row r="4" spans="1:16" x14ac:dyDescent="0.25">
      <c r="A4" s="43" t="s">
        <v>21</v>
      </c>
      <c r="B4" s="43" t="s">
        <v>35</v>
      </c>
      <c r="C4" s="43" t="s">
        <v>28</v>
      </c>
      <c r="D4" s="43" t="s">
        <v>4</v>
      </c>
      <c r="E4" s="43" t="s">
        <v>54</v>
      </c>
      <c r="F4" s="43" t="s">
        <v>55</v>
      </c>
      <c r="G4" s="43">
        <v>22</v>
      </c>
      <c r="H4" s="44">
        <v>12870</v>
      </c>
      <c r="I4" s="44">
        <v>10296</v>
      </c>
      <c r="J4" s="45">
        <v>0.2</v>
      </c>
      <c r="K4" s="43">
        <v>11</v>
      </c>
      <c r="M4" s="43" t="s">
        <v>59</v>
      </c>
    </row>
    <row r="5" spans="1:16" x14ac:dyDescent="0.25">
      <c r="A5" s="43" t="s">
        <v>18</v>
      </c>
      <c r="B5" s="43" t="s">
        <v>32</v>
      </c>
      <c r="C5" s="43" t="s">
        <v>25</v>
      </c>
      <c r="D5" s="43" t="s">
        <v>7</v>
      </c>
      <c r="E5" s="43" t="s">
        <v>54</v>
      </c>
      <c r="F5" s="43" t="s">
        <v>55</v>
      </c>
      <c r="G5" s="43">
        <v>10</v>
      </c>
      <c r="H5" s="44">
        <v>1170</v>
      </c>
      <c r="I5" s="44">
        <v>936</v>
      </c>
      <c r="J5" s="45">
        <v>0.2</v>
      </c>
      <c r="K5" s="43">
        <v>11</v>
      </c>
      <c r="M5" s="43" t="s">
        <v>60</v>
      </c>
    </row>
    <row r="7" spans="1:16" x14ac:dyDescent="0.25">
      <c r="P7" s="45"/>
    </row>
    <row r="8" spans="1:16" x14ac:dyDescent="0.25">
      <c r="N8" s="45"/>
    </row>
    <row r="32" spans="3:7" x14ac:dyDescent="0.25">
      <c r="C32" s="47" t="s">
        <v>49</v>
      </c>
      <c r="G32" s="44"/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2</vt:i4>
      </vt:variant>
    </vt:vector>
  </HeadingPairs>
  <TitlesOfParts>
    <vt:vector size="6" baseType="lpstr">
      <vt:lpstr>Prices</vt:lpstr>
      <vt:lpstr>Menu</vt:lpstr>
      <vt:lpstr>Quote</vt:lpstr>
      <vt:lpstr>Save Quote</vt:lpstr>
      <vt:lpstr>Customers</vt:lpstr>
      <vt:lpstr>Prices</vt:lpstr>
    </vt:vector>
  </TitlesOfParts>
  <Company>Itchen Sixth Form College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Channon</dc:creator>
  <cp:lastModifiedBy>Lights</cp:lastModifiedBy>
  <dcterms:created xsi:type="dcterms:W3CDTF">2020-09-08T12:18:37Z</dcterms:created>
  <dcterms:modified xsi:type="dcterms:W3CDTF">2023-06-09T22:02:07Z</dcterms:modified>
</cp:coreProperties>
</file>